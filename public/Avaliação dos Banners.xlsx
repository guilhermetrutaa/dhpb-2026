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 Oliveira\Documents\Pessoal\Glayds\"/>
    </mc:Choice>
  </mc:AlternateContent>
  <xr:revisionPtr revIDLastSave="0" documentId="13_ncr:1_{B3F0321D-4CCE-4AEC-BE6C-7F2CEEEA594E}" xr6:coauthVersionLast="47" xr6:coauthVersionMax="47" xr10:uidLastSave="{00000000-0000-0000-0000-000000000000}"/>
  <bookViews>
    <workbookView xWindow="-108" yWindow="-108" windowWidth="23256" windowHeight="12576" xr2:uid="{8255D17E-92BE-41B5-B40F-B57B3668BDC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F16" i="1"/>
  <c r="E39" i="1"/>
  <c r="E24" i="1"/>
  <c r="E25" i="1"/>
  <c r="E26" i="1"/>
  <c r="E23" i="1"/>
  <c r="E41" i="1"/>
  <c r="F40" i="1" s="1"/>
  <c r="E42" i="1"/>
  <c r="E43" i="1"/>
  <c r="E40" i="1"/>
  <c r="E37" i="1"/>
  <c r="E38" i="1"/>
  <c r="E36" i="1"/>
  <c r="E33" i="1"/>
  <c r="E34" i="1"/>
  <c r="E32" i="1"/>
  <c r="F32" i="1" s="1"/>
  <c r="E28" i="1"/>
  <c r="E29" i="1"/>
  <c r="E30" i="1"/>
  <c r="E31" i="1"/>
  <c r="E27" i="1"/>
  <c r="E22" i="1"/>
  <c r="F21" i="1" s="1"/>
  <c r="E21" i="1"/>
  <c r="E17" i="1"/>
  <c r="E18" i="1"/>
  <c r="E19" i="1"/>
  <c r="E20" i="1"/>
  <c r="E16" i="1"/>
  <c r="E12" i="1"/>
  <c r="E13" i="1"/>
  <c r="E14" i="1"/>
  <c r="E15" i="1"/>
  <c r="E11" i="1"/>
  <c r="E8" i="1"/>
  <c r="E9" i="1"/>
  <c r="E10" i="1"/>
  <c r="E7" i="1"/>
  <c r="F7" i="1" s="1"/>
  <c r="E4" i="1"/>
  <c r="E5" i="1"/>
  <c r="E6" i="1"/>
  <c r="F27" i="1"/>
  <c r="E3" i="1"/>
  <c r="F3" i="1" l="1"/>
  <c r="F36" i="1"/>
  <c r="F45" i="1" s="1"/>
  <c r="F11" i="1"/>
</calcChain>
</file>

<file path=xl/sharedStrings.xml><?xml version="1.0" encoding="utf-8"?>
<sst xmlns="http://schemas.openxmlformats.org/spreadsheetml/2006/main" count="97" uniqueCount="57">
  <si>
    <t>COMANDO</t>
  </si>
  <si>
    <t>CRITÉRIOS AVALIATIVOS</t>
  </si>
  <si>
    <t>AVALIAÇÃO</t>
  </si>
  <si>
    <t>PARCIAIS</t>
  </si>
  <si>
    <t>SUB-TOTAL</t>
  </si>
  <si>
    <t>O subtítulo criado dialoga com o tema central da tarefa.</t>
  </si>
  <si>
    <t>O subtítulo está coerente com o conteúdo do texto produzido pela equipe.</t>
  </si>
  <si>
    <t>O subtítulo desperta o interesse do leitor para o conteúdo apresentado.</t>
  </si>
  <si>
    <t>O subtítulo está formulado de maneira clara e objetiva.</t>
  </si>
  <si>
    <t>O ponto de partida estabelece uma relação explícita entre o documento (figura 1) e o tema central da atividade.</t>
  </si>
  <si>
    <t>A equipe apresentou uma contextualização clara que permite compreender a relevância do documento escolhido.</t>
  </si>
  <si>
    <t>O ponto de partida introduz o conceito de representação conectado ao tema.</t>
  </si>
  <si>
    <t>A contextualização inicial demonstra compreensão sobre a identidade paraibana.</t>
  </si>
  <si>
    <t>A equipe escolheu a figura 1 entre as 10 indicadas pela comissão organizadora.</t>
  </si>
  <si>
    <t>Há um título para a figura 1.</t>
  </si>
  <si>
    <t>Há uma legenda para a figura 1.</t>
  </si>
  <si>
    <t>O título da figura 1 dialoga com imagem.</t>
  </si>
  <si>
    <t>A legenda da figura 1 dialoga com a imagem.</t>
  </si>
  <si>
    <t>O texto analítico reflete a relação entre o Documento 1 e o conceito de ser paraibano.</t>
  </si>
  <si>
    <t>O texto demonstra argumentações sobre o pressuposto escolhido conforme apresentado no item 2.</t>
  </si>
  <si>
    <t>O conceito de representação foi corretamente aplicado na construção do texto a desconstrução do representado.</t>
  </si>
  <si>
    <t>O texto identifica elementos históricos que problematizam a construção da identidade paraibana.</t>
  </si>
  <si>
    <t>O texto evita generalizações e estereótipos sobre os paraibanos.</t>
  </si>
  <si>
    <t>Há um título e ele é coerente com a figura 2.</t>
  </si>
  <si>
    <t>Há uma legenda e ela é coerente com a figura 2.</t>
  </si>
  <si>
    <t>A figura 2 sintetiza, dialeticamente, o conteúdo da figura1 com o texto da Desconstrução do representado.</t>
  </si>
  <si>
    <t>A iconografia é coerente e contribui para aprofundar a compreensão do que está sendo representado.</t>
  </si>
  <si>
    <t>A paleta de cores, os símbolos e os elementos visuais complementam ou reforçam a mensagem central do texto.</t>
  </si>
  <si>
    <t>O resultado final permite identificar facilmente o representado, de acordo com a análise do texto.</t>
  </si>
  <si>
    <t>A reflexão final demonstra compreensão da complexidade da identidade paraibana.</t>
  </si>
  <si>
    <t>A equipe utilizou as discussões efetuadas como ponto de partida para a reflexão.</t>
  </si>
  <si>
    <t>As considerações finais apresentam ideias claras e organizadas.</t>
  </si>
  <si>
    <t>A reflexão apresenta aspectos culturais, sociais ou históricos da identidade paraibana.</t>
  </si>
  <si>
    <t>A reflexão demonstra um olhar crítico sobre diferentes dimensões da identidade paraibana.</t>
  </si>
  <si>
    <t>A equipe apresentou até 4 referências bibliográficas, conforme solicitado.</t>
  </si>
  <si>
    <t>Todas as referências estão formatadas de acordo com a ABNT NBR 6023:2025.</t>
  </si>
  <si>
    <t>A equipe utilizou referenciais diversificadas (livros, revistas, sites, produção acadêmica) na produção do banner.</t>
  </si>
  <si>
    <t>Todas as referências apresentadas são pertinentes e efetivamente utilizadas na produção do texto.</t>
  </si>
  <si>
    <t>A seção contém uma foto da equipe.</t>
  </si>
  <si>
    <t>O nome oficial da equipe, o nome da escola e o município foram identificados.</t>
  </si>
  <si>
    <t>Na foto apresentada constam todos os integrantes da equipe (não é obrigatório o professor aparecer na foto).</t>
  </si>
  <si>
    <t>A disposição dos créditos está organizada de acordo com as instruções da tarefa.</t>
  </si>
  <si>
    <t>GRAMÁTICA E COERÊNCIA</t>
  </si>
  <si>
    <t>O texto está bem escrito dentro de uma norma padrão e adequada a uma produção acadêmica.</t>
  </si>
  <si>
    <t>O banner demonstra uma relação clara e lógica entre o texto e imagens, reforçando a proposta da tarefa.</t>
  </si>
  <si>
    <t>TOTAL</t>
  </si>
  <si>
    <t>NÃO há erros de ortografia e/ou gramática.</t>
  </si>
  <si>
    <t>NÃO aparecem frases ou termos ofensivos, pornográficos, que faz apologia a qualquer forma de violência ou preconceito.</t>
  </si>
  <si>
    <t>Concordo Totalmente</t>
  </si>
  <si>
    <r>
      <t xml:space="preserve">A equipe deve criar um </t>
    </r>
    <r>
      <rPr>
        <b/>
        <sz val="11"/>
        <color rgb="FFC00000"/>
        <rFont val="Calibri"/>
        <family val="2"/>
        <scheme val="minor"/>
      </rPr>
      <t>SUBTÍTULO</t>
    </r>
    <r>
      <rPr>
        <sz val="11"/>
        <color theme="1"/>
        <rFont val="Calibri"/>
        <family val="2"/>
        <scheme val="minor"/>
      </rPr>
      <t xml:space="preserve"> para o seu banner que dialogue coerentemente com o tema central da tarefa e com o conteúdo do seu próprio texto.</t>
    </r>
  </si>
  <si>
    <r>
      <t xml:space="preserve">Uma vez que o documento base (Imagem/ Documento 1) foi escolhido, juntamente com o pressuposto indicado no item </t>
    </r>
    <r>
      <rPr>
        <b/>
        <sz val="11"/>
        <color rgb="FFC00000"/>
        <rFont val="Calibri"/>
        <family val="2"/>
        <scheme val="minor"/>
      </rPr>
      <t>DESCONSTRUINDO A IDENTIDADE</t>
    </r>
    <r>
      <rPr>
        <sz val="11"/>
        <color theme="1"/>
        <rFont val="Calibri"/>
        <family val="2"/>
        <scheme val="minor"/>
      </rPr>
      <t xml:space="preserve"> (Item 2), elabore um texto analítico sobre o que é ser paraibano a partir do conceito de representação.</t>
    </r>
  </si>
  <si>
    <r>
      <t xml:space="preserve">Sintetizem a relação entre a primeira imagem e o texto da seção </t>
    </r>
    <r>
      <rPr>
        <b/>
        <sz val="11"/>
        <color rgb="FFC00000"/>
        <rFont val="Calibri"/>
        <family val="2"/>
        <scheme val="minor"/>
      </rPr>
      <t>DESCONSTRUÇÃO DO REPRESENTADO</t>
    </r>
    <r>
      <rPr>
        <sz val="11"/>
        <color theme="1"/>
        <rFont val="Calibri"/>
        <family val="2"/>
        <scheme val="minor"/>
      </rPr>
      <t xml:space="preserve"> por meio de uma representação iconográfica. A criação pode ser autoral, como também pode ser uma montagem ou utilizar imagens pré-existentes.</t>
    </r>
  </si>
  <si>
    <r>
      <rPr>
        <b/>
        <sz val="11"/>
        <color rgb="FFC00000"/>
        <rFont val="Calibri"/>
        <family val="2"/>
        <scheme val="minor"/>
      </rPr>
      <t>REFLEXÃO FINAL</t>
    </r>
    <r>
      <rPr>
        <sz val="11"/>
        <color theme="1"/>
        <rFont val="Calibri"/>
        <family val="2"/>
        <scheme val="minor"/>
      </rPr>
      <t>: A equipe deve examinar a complexidade da identidade paraibana, usando a discussão efetuada como ponto de partida e então elaborar suas considerações finais.</t>
    </r>
  </si>
  <si>
    <t>IMAGEM 1</t>
  </si>
  <si>
    <r>
      <rPr>
        <b/>
        <sz val="10"/>
        <color rgb="FFC00000"/>
        <rFont val="Calibri"/>
        <family val="2"/>
        <scheme val="minor"/>
      </rPr>
      <t>REFERÊNCIAS</t>
    </r>
    <r>
      <rPr>
        <sz val="8"/>
        <color theme="1"/>
        <rFont val="Calibri"/>
        <family val="2"/>
        <scheme val="minor"/>
      </rPr>
      <t>: a equipe citará, conforme norma da ABNT (NBR 6023:2025), até 4 referências bibliográficas utilizadas durante a produção de sua tarefa. Podem ser citados livros, revistas, sites, artigos, dissertações, teses, etc. Em caso de uso de I.A. como “corretor ortográfico/gramatical”, para obter um texto final com escrita corrigida, o aplicativo utilizado deve ser indicado como um quarto item da bibliografia.</t>
    </r>
  </si>
  <si>
    <r>
      <rPr>
        <b/>
        <sz val="11"/>
        <color rgb="FFC00000"/>
        <rFont val="Calibri"/>
        <family val="2"/>
        <scheme val="minor"/>
      </rPr>
      <t>FOTO E CRÉDITOS DA EQUIPE</t>
    </r>
    <r>
      <rPr>
        <sz val="11"/>
        <color theme="1"/>
        <rFont val="Calibri"/>
        <family val="2"/>
        <scheme val="minor"/>
      </rPr>
      <t>: nessa seção, é obrigatório colocar o nome da equipe, os componentes, a escola e o município. Obs.: Professor(a) também é membro da equipe</t>
    </r>
  </si>
  <si>
    <r>
      <rPr>
        <b/>
        <sz val="11"/>
        <color rgb="FFC00000"/>
        <rFont val="Calibri"/>
        <family val="2"/>
        <scheme val="minor"/>
      </rPr>
      <t>PONTO DE PARTIDA</t>
    </r>
    <r>
      <rPr>
        <sz val="11"/>
        <color theme="1"/>
        <rFont val="Calibri"/>
        <family val="2"/>
        <scheme val="minor"/>
      </rPr>
      <t>: neste espaço, a equipe deve fazer a contextualização inicial do documento escolhido anteriormente e o seu diálogo com a temática da tarefa.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</si>
</sst>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C3FF-4A30-48C3-85CA-C0921B267B20}">
  <dimension ref="B1:F45"/>
  <sheetViews>
    <sheetView tabSelected="1" workbookViewId="0">
      <selection activeCell="C4" sqref="C4"/>
    </sheetView>
  </sheetViews>
  <sheetFormatPr defaultRowHeight="14.4" x14ac:dyDescent="0.3"/>
  <cols>
    <col min="1" max="1" width="3.77734375" customWidth="1"/>
    <col min="2" max="2" width="48.88671875" customWidth="1"/>
    <col min="3" max="3" width="102.44140625" bestFit="1" customWidth="1"/>
    <col min="4" max="4" width="23" bestFit="1" customWidth="1"/>
    <col min="5" max="5" width="10.77734375" bestFit="1" customWidth="1"/>
    <col min="6" max="6" width="13.109375" bestFit="1" customWidth="1"/>
  </cols>
  <sheetData>
    <row r="1" spans="2:6" ht="15" thickBot="1" x14ac:dyDescent="0.35"/>
    <row r="2" spans="2:6" ht="18.600000000000001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">
      <c r="B3" s="2" t="s">
        <v>49</v>
      </c>
      <c r="C3" s="9" t="s">
        <v>5</v>
      </c>
      <c r="D3" s="18" t="s">
        <v>48</v>
      </c>
      <c r="E3" s="12">
        <f>IF(D3="Concordo Totalmente",2.5,IF(D3="Concordo Parcialmente",2,IF(D3="Neutro/Não tenho certeza",1.2,IF(D3="Discordo Parcialmente",0.5,0))))</f>
        <v>2.5</v>
      </c>
      <c r="F3" s="2">
        <f>SUM(E3:E6)</f>
        <v>10</v>
      </c>
    </row>
    <row r="4" spans="2:6" ht="15" customHeight="1" x14ac:dyDescent="0.3">
      <c r="B4" s="3"/>
      <c r="C4" s="10" t="s">
        <v>6</v>
      </c>
      <c r="D4" s="19" t="s">
        <v>48</v>
      </c>
      <c r="E4" s="13">
        <f t="shared" ref="E4:E43" si="0">IF(D4="Concordo Totalmente",2.5,IF(D4="Concordo Parcialmente",2,IF(D4="Neutro/Não tenho certeza",1.2,IF(D4="Discordo Parcialmente",0.5,0))))</f>
        <v>2.5</v>
      </c>
      <c r="F4" s="3"/>
    </row>
    <row r="5" spans="2:6" ht="15" customHeight="1" x14ac:dyDescent="0.3">
      <c r="B5" s="3"/>
      <c r="C5" s="10" t="s">
        <v>7</v>
      </c>
      <c r="D5" s="19" t="s">
        <v>48</v>
      </c>
      <c r="E5" s="13">
        <f t="shared" si="0"/>
        <v>2.5</v>
      </c>
      <c r="F5" s="3"/>
    </row>
    <row r="6" spans="2:6" ht="15" customHeight="1" thickBot="1" x14ac:dyDescent="0.35">
      <c r="B6" s="4"/>
      <c r="C6" s="11" t="s">
        <v>8</v>
      </c>
      <c r="D6" s="20" t="s">
        <v>48</v>
      </c>
      <c r="E6" s="14">
        <f t="shared" si="0"/>
        <v>2.5</v>
      </c>
      <c r="F6" s="4"/>
    </row>
    <row r="7" spans="2:6" x14ac:dyDescent="0.3">
      <c r="B7" s="2" t="s">
        <v>56</v>
      </c>
      <c r="C7" s="9" t="s">
        <v>9</v>
      </c>
      <c r="D7" s="18" t="s">
        <v>48</v>
      </c>
      <c r="E7" s="12">
        <f>IF(D7="Concordo Totalmente",2.5,IF(D7="Concordo Parcialmente",2,IF(D7="Neutro/Não tenho certeza",1.2,IF(D7="Discordo Parcialmente",0.5,0))))</f>
        <v>2.5</v>
      </c>
      <c r="F7" s="2">
        <f>SUM(E7:E10)</f>
        <v>10</v>
      </c>
    </row>
    <row r="8" spans="2:6" x14ac:dyDescent="0.3">
      <c r="B8" s="3"/>
      <c r="C8" s="10" t="s">
        <v>10</v>
      </c>
      <c r="D8" s="19" t="s">
        <v>48</v>
      </c>
      <c r="E8" s="13">
        <f t="shared" ref="E8:E10" si="1">IF(D8="Concordo Totalmente",2.5,IF(D8="Concordo Parcialmente",2,IF(D8="Neutro/Não tenho certeza",1.2,IF(D8="Discordo Parcialmente",0.5,0))))</f>
        <v>2.5</v>
      </c>
      <c r="F8" s="3"/>
    </row>
    <row r="9" spans="2:6" x14ac:dyDescent="0.3">
      <c r="B9" s="3"/>
      <c r="C9" s="10" t="s">
        <v>11</v>
      </c>
      <c r="D9" s="19" t="s">
        <v>48</v>
      </c>
      <c r="E9" s="13">
        <f t="shared" si="1"/>
        <v>2.5</v>
      </c>
      <c r="F9" s="3"/>
    </row>
    <row r="10" spans="2:6" ht="15" thickBot="1" x14ac:dyDescent="0.35">
      <c r="B10" s="4"/>
      <c r="C10" s="11" t="s">
        <v>12</v>
      </c>
      <c r="D10" s="20" t="s">
        <v>48</v>
      </c>
      <c r="E10" s="14">
        <f t="shared" si="1"/>
        <v>2.5</v>
      </c>
      <c r="F10" s="4"/>
    </row>
    <row r="11" spans="2:6" x14ac:dyDescent="0.3">
      <c r="B11" s="7" t="s">
        <v>53</v>
      </c>
      <c r="C11" s="9" t="s">
        <v>13</v>
      </c>
      <c r="D11" s="18" t="s">
        <v>48</v>
      </c>
      <c r="E11" s="12">
        <f>IF(D11="Concordo Totalmente",1,IF(D11="Concordo Parcialmente",0.5,0))</f>
        <v>1</v>
      </c>
      <c r="F11" s="2">
        <f>SUM(E11:E15)</f>
        <v>5</v>
      </c>
    </row>
    <row r="12" spans="2:6" x14ac:dyDescent="0.3">
      <c r="B12" s="3"/>
      <c r="C12" s="10" t="s">
        <v>14</v>
      </c>
      <c r="D12" s="19" t="s">
        <v>48</v>
      </c>
      <c r="E12" s="13">
        <f t="shared" ref="E12:E15" si="2">IF(D12="Concordo Totalmente",1,IF(D12="Concordo Parcialmente",0.5,0))</f>
        <v>1</v>
      </c>
      <c r="F12" s="3"/>
    </row>
    <row r="13" spans="2:6" x14ac:dyDescent="0.3">
      <c r="B13" s="3"/>
      <c r="C13" s="10" t="s">
        <v>15</v>
      </c>
      <c r="D13" s="19" t="s">
        <v>48</v>
      </c>
      <c r="E13" s="13">
        <f t="shared" si="2"/>
        <v>1</v>
      </c>
      <c r="F13" s="3"/>
    </row>
    <row r="14" spans="2:6" x14ac:dyDescent="0.3">
      <c r="B14" s="3"/>
      <c r="C14" s="10" t="s">
        <v>16</v>
      </c>
      <c r="D14" s="19" t="s">
        <v>48</v>
      </c>
      <c r="E14" s="13">
        <f t="shared" si="2"/>
        <v>1</v>
      </c>
      <c r="F14" s="3"/>
    </row>
    <row r="15" spans="2:6" ht="15" thickBot="1" x14ac:dyDescent="0.35">
      <c r="B15" s="4"/>
      <c r="C15" s="11" t="s">
        <v>17</v>
      </c>
      <c r="D15" s="20" t="s">
        <v>48</v>
      </c>
      <c r="E15" s="14">
        <f t="shared" si="2"/>
        <v>1</v>
      </c>
      <c r="F15" s="4"/>
    </row>
    <row r="16" spans="2:6" x14ac:dyDescent="0.3">
      <c r="B16" s="2" t="s">
        <v>50</v>
      </c>
      <c r="C16" s="9" t="s">
        <v>18</v>
      </c>
      <c r="D16" s="18" t="s">
        <v>48</v>
      </c>
      <c r="E16" s="15">
        <f>IF(D16="Concordo Totalmente",4,IF(D16="Concordo Parcialmente",2.3,IF(D16="Neutro/Não tenho certeza",1.2,IF(D16="Discordo Parcialmente",0.5,0))))</f>
        <v>4</v>
      </c>
      <c r="F16" s="2">
        <f>SUM(E16:E20)</f>
        <v>20</v>
      </c>
    </row>
    <row r="17" spans="2:6" x14ac:dyDescent="0.3">
      <c r="B17" s="3"/>
      <c r="C17" s="10" t="s">
        <v>19</v>
      </c>
      <c r="D17" s="19" t="s">
        <v>48</v>
      </c>
      <c r="E17" s="16">
        <f t="shared" ref="E17:E20" si="3">IF(D17="Concordo Totalmente",4,IF(D17="Concordo Parcialmente",2.3,IF(D17="Neutro/Não tenho certeza",1.2,IF(D17="Discordo Parcialmente",0.5,0))))</f>
        <v>4</v>
      </c>
      <c r="F17" s="3"/>
    </row>
    <row r="18" spans="2:6" x14ac:dyDescent="0.3">
      <c r="B18" s="3"/>
      <c r="C18" s="10" t="s">
        <v>20</v>
      </c>
      <c r="D18" s="19" t="s">
        <v>48</v>
      </c>
      <c r="E18" s="16">
        <f t="shared" si="3"/>
        <v>4</v>
      </c>
      <c r="F18" s="3"/>
    </row>
    <row r="19" spans="2:6" x14ac:dyDescent="0.3">
      <c r="B19" s="3"/>
      <c r="C19" s="10" t="s">
        <v>21</v>
      </c>
      <c r="D19" s="19" t="s">
        <v>48</v>
      </c>
      <c r="E19" s="16">
        <f t="shared" si="3"/>
        <v>4</v>
      </c>
      <c r="F19" s="3"/>
    </row>
    <row r="20" spans="2:6" ht="15" thickBot="1" x14ac:dyDescent="0.35">
      <c r="B20" s="4"/>
      <c r="C20" s="11" t="s">
        <v>22</v>
      </c>
      <c r="D20" s="20" t="s">
        <v>48</v>
      </c>
      <c r="E20" s="17">
        <f t="shared" si="3"/>
        <v>4</v>
      </c>
      <c r="F20" s="4"/>
    </row>
    <row r="21" spans="2:6" x14ac:dyDescent="0.3">
      <c r="B21" s="2" t="s">
        <v>51</v>
      </c>
      <c r="C21" s="9" t="s">
        <v>23</v>
      </c>
      <c r="D21" s="18" t="s">
        <v>48</v>
      </c>
      <c r="E21" s="15">
        <f>IF(D21="Concordo Totalmente",2,IF(D21="Concordo Parcialmente",1,0))</f>
        <v>2</v>
      </c>
      <c r="F21" s="2">
        <f>SUM(E21:E26)</f>
        <v>20</v>
      </c>
    </row>
    <row r="22" spans="2:6" x14ac:dyDescent="0.3">
      <c r="B22" s="3"/>
      <c r="C22" s="10" t="s">
        <v>24</v>
      </c>
      <c r="D22" s="19" t="s">
        <v>48</v>
      </c>
      <c r="E22" s="16">
        <f t="shared" ref="E22:E26" si="4">IF(D22="Concordo Totalmente",2,IF(D22="Concordo Parcialmente",1,0))</f>
        <v>2</v>
      </c>
      <c r="F22" s="3"/>
    </row>
    <row r="23" spans="2:6" x14ac:dyDescent="0.3">
      <c r="B23" s="3"/>
      <c r="C23" s="10" t="s">
        <v>25</v>
      </c>
      <c r="D23" s="19" t="s">
        <v>48</v>
      </c>
      <c r="E23" s="16">
        <f>IF(D23="Concordo Totalmente",4,IF(D23="Concordo Parcialmente",2.3,IF(D23="Neutro/Não tenho certeza",1.2,IF(D23="Discordo Parcialmente",0.5,0))))</f>
        <v>4</v>
      </c>
      <c r="F23" s="3"/>
    </row>
    <row r="24" spans="2:6" x14ac:dyDescent="0.3">
      <c r="B24" s="3"/>
      <c r="C24" s="10" t="s">
        <v>26</v>
      </c>
      <c r="D24" s="19" t="s">
        <v>48</v>
      </c>
      <c r="E24" s="16">
        <f t="shared" ref="E24:E26" si="5">IF(D24="Concordo Totalmente",4,IF(D24="Concordo Parcialmente",2.3,IF(D24="Neutro/Não tenho certeza",1.2,IF(D24="Discordo Parcialmente",0.5,0))))</f>
        <v>4</v>
      </c>
      <c r="F24" s="3"/>
    </row>
    <row r="25" spans="2:6" x14ac:dyDescent="0.3">
      <c r="B25" s="3"/>
      <c r="C25" s="10" t="s">
        <v>27</v>
      </c>
      <c r="D25" s="19" t="s">
        <v>48</v>
      </c>
      <c r="E25" s="16">
        <f t="shared" si="5"/>
        <v>4</v>
      </c>
      <c r="F25" s="3"/>
    </row>
    <row r="26" spans="2:6" ht="15" thickBot="1" x14ac:dyDescent="0.35">
      <c r="B26" s="4"/>
      <c r="C26" s="11" t="s">
        <v>28</v>
      </c>
      <c r="D26" s="20" t="s">
        <v>48</v>
      </c>
      <c r="E26" s="17">
        <f t="shared" si="5"/>
        <v>4</v>
      </c>
      <c r="F26" s="4"/>
    </row>
    <row r="27" spans="2:6" x14ac:dyDescent="0.3">
      <c r="B27" s="2" t="s">
        <v>52</v>
      </c>
      <c r="C27" s="9" t="s">
        <v>29</v>
      </c>
      <c r="D27" s="18" t="s">
        <v>48</v>
      </c>
      <c r="E27" s="15">
        <f>IF(D27="Concordo Totalmente",3,IF(D27="Concordo Parcialmente",2.3,IF(D27="Neutro/Não tenho certeza",1.5,IF(D27="Discordo Parcialmente",0.5,0))))</f>
        <v>3</v>
      </c>
      <c r="F27" s="2">
        <f>SUM(E27:E31)</f>
        <v>15</v>
      </c>
    </row>
    <row r="28" spans="2:6" x14ac:dyDescent="0.3">
      <c r="B28" s="3"/>
      <c r="C28" s="10" t="s">
        <v>30</v>
      </c>
      <c r="D28" s="19" t="s">
        <v>48</v>
      </c>
      <c r="E28" s="16">
        <f t="shared" ref="E28:E31" si="6">IF(D28="Concordo Totalmente",3,IF(D28="Concordo Parcialmente",2.3,IF(D28="Neutro/Não tenho certeza",1.5,IF(D28="Discordo Parcialmente",0.5,0))))</f>
        <v>3</v>
      </c>
      <c r="F28" s="3"/>
    </row>
    <row r="29" spans="2:6" x14ac:dyDescent="0.3">
      <c r="B29" s="3"/>
      <c r="C29" s="10" t="s">
        <v>31</v>
      </c>
      <c r="D29" s="19" t="s">
        <v>48</v>
      </c>
      <c r="E29" s="16">
        <f t="shared" si="6"/>
        <v>3</v>
      </c>
      <c r="F29" s="3"/>
    </row>
    <row r="30" spans="2:6" x14ac:dyDescent="0.3">
      <c r="B30" s="3"/>
      <c r="C30" s="10" t="s">
        <v>32</v>
      </c>
      <c r="D30" s="19" t="s">
        <v>48</v>
      </c>
      <c r="E30" s="16">
        <f t="shared" si="6"/>
        <v>3</v>
      </c>
      <c r="F30" s="3"/>
    </row>
    <row r="31" spans="2:6" ht="15" thickBot="1" x14ac:dyDescent="0.35">
      <c r="B31" s="4"/>
      <c r="C31" s="11" t="s">
        <v>33</v>
      </c>
      <c r="D31" s="20" t="s">
        <v>48</v>
      </c>
      <c r="E31" s="17">
        <f t="shared" si="6"/>
        <v>3</v>
      </c>
      <c r="F31" s="4"/>
    </row>
    <row r="32" spans="2:6" ht="16.2" customHeight="1" x14ac:dyDescent="0.3">
      <c r="B32" s="8" t="s">
        <v>54</v>
      </c>
      <c r="C32" s="9" t="s">
        <v>34</v>
      </c>
      <c r="D32" s="18" t="s">
        <v>48</v>
      </c>
      <c r="E32" s="15">
        <f>IF(D32="Concordo Totalmente",1,IF(D32="Concordo Parcialmente",0.5,0))</f>
        <v>1</v>
      </c>
      <c r="F32" s="2">
        <f>SUM(E32:E35)</f>
        <v>5</v>
      </c>
    </row>
    <row r="33" spans="2:6" ht="16.8" customHeight="1" x14ac:dyDescent="0.3">
      <c r="B33" s="3"/>
      <c r="C33" s="10" t="s">
        <v>35</v>
      </c>
      <c r="D33" s="19" t="s">
        <v>48</v>
      </c>
      <c r="E33" s="16">
        <f t="shared" ref="E33:E35" si="7">IF(D33="Concordo Totalmente",1,IF(D33="Concordo Parcialmente",0.5,0))</f>
        <v>1</v>
      </c>
      <c r="F33" s="3"/>
    </row>
    <row r="34" spans="2:6" ht="16.8" customHeight="1" x14ac:dyDescent="0.3">
      <c r="B34" s="3"/>
      <c r="C34" s="10" t="s">
        <v>36</v>
      </c>
      <c r="D34" s="19" t="s">
        <v>48</v>
      </c>
      <c r="E34" s="16">
        <f t="shared" si="7"/>
        <v>1</v>
      </c>
      <c r="F34" s="3"/>
    </row>
    <row r="35" spans="2:6" ht="16.8" customHeight="1" thickBot="1" x14ac:dyDescent="0.35">
      <c r="B35" s="4"/>
      <c r="C35" s="11" t="s">
        <v>37</v>
      </c>
      <c r="D35" s="20" t="s">
        <v>48</v>
      </c>
      <c r="E35" s="17">
        <f>IF(D35="Concordo Totalmente",2,IF(D35="Concordo Parcialmente",1,0))</f>
        <v>2</v>
      </c>
      <c r="F35" s="4"/>
    </row>
    <row r="36" spans="2:6" x14ac:dyDescent="0.3">
      <c r="B36" s="2" t="s">
        <v>55</v>
      </c>
      <c r="C36" s="9" t="s">
        <v>38</v>
      </c>
      <c r="D36" s="18" t="s">
        <v>48</v>
      </c>
      <c r="E36" s="15">
        <f>IF(D36="Concordo Totalmente",1,IF(D36="Concordo Parcialmente",0.5,0))</f>
        <v>1</v>
      </c>
      <c r="F36" s="2">
        <f>SUM(E36:E39)</f>
        <v>5</v>
      </c>
    </row>
    <row r="37" spans="2:6" x14ac:dyDescent="0.3">
      <c r="B37" s="3"/>
      <c r="C37" s="10" t="s">
        <v>39</v>
      </c>
      <c r="D37" s="19" t="s">
        <v>48</v>
      </c>
      <c r="E37" s="16">
        <f t="shared" ref="E37:E39" si="8">IF(D37="Concordo Totalmente",1,IF(D37="Concordo Parcialmente",0.5,0))</f>
        <v>1</v>
      </c>
      <c r="F37" s="3"/>
    </row>
    <row r="38" spans="2:6" x14ac:dyDescent="0.3">
      <c r="B38" s="3"/>
      <c r="C38" s="10" t="s">
        <v>40</v>
      </c>
      <c r="D38" s="19" t="s">
        <v>48</v>
      </c>
      <c r="E38" s="16">
        <f t="shared" si="8"/>
        <v>1</v>
      </c>
      <c r="F38" s="3"/>
    </row>
    <row r="39" spans="2:6" ht="15" thickBot="1" x14ac:dyDescent="0.35">
      <c r="B39" s="4"/>
      <c r="C39" s="11" t="s">
        <v>41</v>
      </c>
      <c r="D39" s="20" t="s">
        <v>48</v>
      </c>
      <c r="E39" s="17">
        <f>IF(D39="Concordo Totalmente",2,IF(D39="Concordo Parcialmente",1,0))</f>
        <v>2</v>
      </c>
      <c r="F39" s="4"/>
    </row>
    <row r="40" spans="2:6" x14ac:dyDescent="0.3">
      <c r="B40" s="7" t="s">
        <v>42</v>
      </c>
      <c r="C40" s="9" t="s">
        <v>46</v>
      </c>
      <c r="D40" s="18" t="s">
        <v>48</v>
      </c>
      <c r="E40" s="15">
        <f>IF(D40="Concordo Totalmente",2.5,IF(D40="Concordo Parcialmente",2,IF(D40="Neutro/Não tenho certeza",1.2,IF(D40="Discordo Parcialmente",0.5,0))))</f>
        <v>2.5</v>
      </c>
      <c r="F40" s="2">
        <f>SUM(E40:E43)</f>
        <v>10</v>
      </c>
    </row>
    <row r="41" spans="2:6" x14ac:dyDescent="0.3">
      <c r="B41" s="3"/>
      <c r="C41" s="10" t="s">
        <v>43</v>
      </c>
      <c r="D41" s="19" t="s">
        <v>48</v>
      </c>
      <c r="E41" s="16">
        <f t="shared" ref="E41:E43" si="9">IF(D41="Concordo Totalmente",2.5,IF(D41="Concordo Parcialmente",2,IF(D41="Neutro/Não tenho certeza",1.2,IF(D41="Discordo Parcialmente",0.5,0))))</f>
        <v>2.5</v>
      </c>
      <c r="F41" s="3"/>
    </row>
    <row r="42" spans="2:6" x14ac:dyDescent="0.3">
      <c r="B42" s="3"/>
      <c r="C42" s="10" t="s">
        <v>47</v>
      </c>
      <c r="D42" s="19" t="s">
        <v>48</v>
      </c>
      <c r="E42" s="16">
        <f t="shared" si="9"/>
        <v>2.5</v>
      </c>
      <c r="F42" s="3"/>
    </row>
    <row r="43" spans="2:6" ht="15" thickBot="1" x14ac:dyDescent="0.35">
      <c r="B43" s="4"/>
      <c r="C43" s="11" t="s">
        <v>44</v>
      </c>
      <c r="D43" s="20" t="s">
        <v>48</v>
      </c>
      <c r="E43" s="17">
        <f t="shared" si="9"/>
        <v>2.5</v>
      </c>
      <c r="F43" s="4"/>
    </row>
    <row r="44" spans="2:6" ht="15" thickBot="1" x14ac:dyDescent="0.35"/>
    <row r="45" spans="2:6" ht="26.4" thickBot="1" x14ac:dyDescent="0.55000000000000004">
      <c r="E45" s="6" t="s">
        <v>45</v>
      </c>
      <c r="F45" s="5">
        <f>SUM(F3:F43)</f>
        <v>100</v>
      </c>
    </row>
  </sheetData>
  <sheetProtection algorithmName="SHA-512" hashValue="USGLdwertG4PwVPY1YQ4hULxmEOTRva3Tuzy7uMebRw10N1SEEg7gL6tU5gIhDKWRo7Jk/xVfKvVknJ9PqpqiA==" saltValue="v9KZfBkN/qxItoDlT049wQ==" spinCount="100000" sheet="1" objects="1" scenarios="1"/>
  <mergeCells count="18">
    <mergeCell ref="F36:F39"/>
    <mergeCell ref="F40:F43"/>
    <mergeCell ref="F16:F20"/>
    <mergeCell ref="F21:F26"/>
    <mergeCell ref="F27:F31"/>
    <mergeCell ref="F32:F35"/>
    <mergeCell ref="B32:B35"/>
    <mergeCell ref="B36:B39"/>
    <mergeCell ref="B40:B43"/>
    <mergeCell ref="B16:B20"/>
    <mergeCell ref="B21:B26"/>
    <mergeCell ref="B27:B31"/>
    <mergeCell ref="B3:B6"/>
    <mergeCell ref="F3:F6"/>
    <mergeCell ref="B7:B10"/>
    <mergeCell ref="F7:F10"/>
    <mergeCell ref="B11:B15"/>
    <mergeCell ref="F11:F15"/>
  </mergeCells>
  <dataValidations count="2">
    <dataValidation type="list" allowBlank="1" showInputMessage="1" showErrorMessage="1" sqref="D3:D10 D16:D20 D23:D31 D40:D43" xr:uid="{480F4379-700E-4754-9BAF-1B707BFBE321}">
      <formula1>"Concordo Totalmente, Concordo Parcialmente, Neutro/Não tenho certeza, Discordo Parcialmente, Discordo Totalmente"</formula1>
    </dataValidation>
    <dataValidation type="list" allowBlank="1" showInputMessage="1" showErrorMessage="1" sqref="D11:D15 D21:D22 D32:D39" xr:uid="{F8F66917-7D16-417F-918C-160162342359}">
      <formula1>"Concordo Totalmente, Concordo Parcialmente, Discordo Totalmente"</formula1>
    </dataValidation>
  </dataValidations>
  <pageMargins left="0.511811024" right="0.511811024" top="0.78740157499999996" bottom="0.78740157499999996" header="0.31496062000000002" footer="0.31496062000000002"/>
  <ignoredErrors>
    <ignoredError sqref="E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Oliveira</dc:creator>
  <cp:lastModifiedBy>Andrey Oliveira</cp:lastModifiedBy>
  <dcterms:created xsi:type="dcterms:W3CDTF">2025-10-31T16:33:52Z</dcterms:created>
  <dcterms:modified xsi:type="dcterms:W3CDTF">2025-10-31T17:20:32Z</dcterms:modified>
</cp:coreProperties>
</file>